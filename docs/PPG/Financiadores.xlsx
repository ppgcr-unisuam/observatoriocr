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94AE0A22-375A-7042-B95C-B85601961042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87" i="1" l="1"/>
  <c r="I184" i="1"/>
  <c r="I181" i="1"/>
  <c r="I178" i="1"/>
  <c r="I175" i="1"/>
  <c r="J194" i="1"/>
  <c r="I194" i="1" s="1"/>
  <c r="J174" i="1"/>
  <c r="I174" i="1" s="1"/>
  <c r="J193" i="1"/>
  <c r="J192" i="1"/>
  <c r="J191" i="1"/>
  <c r="I190" i="1" s="1"/>
  <c r="J173" i="1"/>
  <c r="J172" i="1"/>
  <c r="J171" i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70" i="1" l="1"/>
  <c r="I162" i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<sst xmlns="http://schemas.openxmlformats.org/spreadsheetml/2006/main" count="1178" uniqueCount="390">
  <si>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</si>
  <si>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</si>
  <si>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</si>
  <si>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</si>
  <si>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</si>
  <si>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</si>
  <si>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</si>
  <si>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</si>
  <si>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</si>
  <si>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</si>
  <si>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</si>
  <si>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</si>
  <si>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</si>
  <si>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</si>
  <si>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</si>
  <si>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</si>
  <si>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</si>
  <si>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</si>
  <si>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</si>
  <si>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</si>
  <si>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</si>
  <si>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</si>
  <si>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</si>
  <si>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</si>
  <si>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</si>
  <si>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</si>
  <si>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</si>
  <si>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</si>
  <si>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</si>
  <si>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</si>
  <si>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</si>
  <si>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</si>
  <si>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</si>
  <si>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</si>
  <si>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</si>
  <si>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</si>
  <si>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</si>
  <si>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</si>
  <si>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</si>
  <si>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</si>
  <si>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</si>
  <si>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</si>
  <si>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</si>
  <si>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</si>
  <si>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</si>
  <si>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</si>
  <si>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</si>
  <si>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</si>
  <si>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</si>
  <si>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</si>
  <si>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</si>
  <si>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</si>
  <si>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</si>
  <si>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</si>
  <si>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</si>
  <si>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</si>
  <si>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</si>
  <si>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</si>
  <si>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</si>
  <si>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</si>
  <si>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</si>
  <si>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</si>
  <si>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</si>
  <si>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</si>
  <si>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</si>
  <si>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</si>
  <si>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</si>
  <si>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</si>
  <si>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</si>
  <si>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</si>
  <si>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</si>
  <si>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</si>
  <si>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</si>
  <si>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</si>
  <si>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</si>
  <si>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</si>
  <si>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</si>
  <si>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</si>
  <si>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</si>
  <si>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</si>
  <si>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</si>
  <si>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</si>
  <si>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</si>
  <si>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</si>
  <si>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</si>
  <si>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</si>
  <si>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</si>
  <si>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</si>
  <si>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</si>
  <si>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</si>
  <si>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</si>
  <si>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</si>
  <si>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</si>
  <si>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</si>
  <si>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</si>
  <si>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</si>
  <si>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</si>
  <si>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</si>
  <si>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</si>
  <si>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</si>
  <si>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</si>
  <si>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</si>
  <si>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</si>
  <si>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</si>
  <si>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</si>
  <si>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</si>
  <si>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</si>
  <si>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</si>
  <si>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</si>
  <si>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</si>
  <si>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</si>
  <si>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</si>
  <si>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</si>
  <si>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</si>
  <si>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</si>
  <si>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</si>
  <si>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</si>
  <si>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</si>
  <si>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</si>
  <si>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</si>
  <si>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</si>
  <si>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</si>
  <si>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</si>
  <si>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</si>
  <si>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</si>
  <si>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</si>
  <si>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</si>
  <si>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</si>
  <si>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</si>
  <si>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</si>
  <si>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</si>
  <si>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</si>
  <si>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</si>
  <si>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</si>
  <si>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</si>
  <si>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</si>
  <si>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</si>
  <si>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</si>
  <si>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</si>
  <si>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</si>
  <si>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</si>
  <si>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</si>
  <si>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</si>
  <si>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</si>
  <si>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</si>
  <si>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</si>
  <si>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</si>
  <si>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</si>
  <si>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</si>
  <si>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</si>
  <si>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</si>
  <si>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</si>
  <si>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</si>
  <si>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</si>
  <si>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</si>
  <si>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</si>
  <si>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</si>
  <si>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</si>
  <si>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</si>
  <si>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</si>
  <si>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</si>
  <si>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</si>
  <si>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</si>
  <si>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</si>
  <si>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</si>
  <si>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</si>
  <si>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</si>
  <si>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</si>
  <si>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</si>
  <si>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</si>
  <si>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</si>
  <si>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</si>
  <si>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</si>
  <si>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</si>
  <si>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</si>
  <si>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</si>
  <si>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</si>
  <si>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</si>
  <si>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</si>
  <si>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</si>
  <si>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</si>
  <si>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</si>
  <si>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</si>
  <si>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</si>
  <si>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</si>
  <si>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</si>
  <si>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</si>
  <si>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</si>
  <si>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</si>
  <si>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</si>
  <si>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</si>
  <si>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</si>
  <si>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</si>
  <si>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</si>
  <si>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</si>
  <si>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</si>
  <si>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</si>
  <si>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</si>
  <si>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</si>
  <si>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</si>
  <si>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</si>
  <si>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</si>
  <si>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</si>
  <si>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</si>
  <si>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</si>
  <si>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</si>
  <si>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</si>
  <si>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</si>
  <si>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</si>
  <si>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</si>
  <si>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</si>
  <si>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</si>
  <si>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</si>
  <si>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</si>
  <si>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</si>
  <si>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</si>
  <si>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</si>
  <si>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</si>
  <si>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</si>
  <si>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</si>
  <si>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</si>
  <si>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</si>
  <si>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</si>
  <si>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</si>
  <si>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</si>
  <si>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</si>
  <si>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</si>
  <si>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</si>
  <si>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</si>
  <si>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</si>
  <si>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</si>
  <si>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</si>
  <si>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</si>
  <si>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</si>
  <si>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</si>
  <si>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</si>
  <si>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</si>
  <si>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</si>
  <si>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</si>
  <si>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</si>
  <si>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</si>
  <si>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</si>
  <si>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</si>
  <si>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</si>
  <si>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</si>
  <si>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</si>
  <si>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</si>
  <si>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</si>
  <si>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</si>
  <si>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</si>
  <si>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</si>
  <si>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</si>
  <si>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</si>
  <si>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</si>
  <si>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</si>
  <si>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</si>
  <si>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</si>
  <si>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</si>
  <si>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</si>
  <si>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</si>
  <si>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</si>
  <si>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</si>
  <si>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</si>
  <si>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</si>
  <si>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</si>
  <si>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</si>
  <si>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</si>
  <si>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</si>
  <si>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</si>
  <si>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</si>
  <si>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</si>
  <si>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</si>
  <si>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</si>
  <si>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</si>
  <si>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</si>
  <si>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</si>
  <si>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</si>
  <si>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</si>
  <si>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</si>
  <si>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</si>
  <si>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</si>
  <si>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</si>
  <si>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</si>
  <si>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</si>
  <si>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</si>
  <si>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</si>
  <si>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</si>
  <si>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</si>
  <si>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</si>
  <si>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</si>
  <si>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</si>
  <si>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</si>
  <si>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</si>
  <si>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</si>
  <si>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</si>
  <si>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</si>
  <si>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</si>
  <si>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</si>
  <si>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</si>
  <si>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</si>
  <si>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</si>
  <si>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</si>
  <si>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</si>
  <si>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</si>
  <si>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</si>
  <si>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</si>
  <si>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</si>
  <si>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</si>
  <si>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</si>
  <si>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</si>
  <si>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</si>
  <si>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</si>
  <si>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</si>
  <si>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</si>
  <si>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</si>
  <si>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</si>
  <si>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</si>
  <si>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</si>
  <si>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</si>
  <si>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</si>
  <si>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</si>
  <si>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</si>
  <si>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</si>
  <si>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</si>
  <si>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</si>
  <si>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</si>
  <si>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</si>
  <si>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</si>
  <si>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</si>
  <si>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</si>
  <si>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</si>
  <si>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</si>
  <si>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</si>
  <si>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</si>
  <si>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</si>
  <si>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</si>
  <si>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</si>
  <si>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</si>
  <si>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</si>
  <si>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</si>
  <si>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</si>
  <si>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</si>
  <si>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</si>
  <si>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</si>
  <si>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</si>
  <si>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</si>
  <si>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</si>
  <si>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</si>
  <si>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</si>
  <si>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</si>
  <si>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</si>
  <si>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</si>
  <si>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</si>
  <si>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</si>
  <si>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</si>
  <si>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</si>
  <si>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</si>
  <si>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</si>
  <si>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</si>
  <si>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</si>
  <si>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</si>
  <si>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</si>
  <si>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</si>
  <si>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</si>
  <si>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</si>
  <si>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</si>
  <si>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</si>
  <si>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</si>
  <si>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</si>
  <si>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</si>
  <si>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</si>
  <si>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</si>
  <si>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</si>
  <si>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</si>
  <si>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</si>
  <si>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</si>
  <si>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</si>
  <si>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</si>
  <si>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</si>
  <si>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</si>
  <si>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</si>
  <si>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</si>
  <si>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</si>
  <si>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</si>
  <si>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</si>
  <si>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 xml:space="preserve">E-26/290.059/2025 </t>
  </si>
  <si>
    <t>https://www.gov.br/capes/pt-br/centrais-de-conteudo/resultados-dos-editais/17112025_Edital_2722472_SEI_2722300_Edital_EDITAL_N__17_2025___RESULTADO_ANALISE_DOCUMENTAL.pdf</t>
  </si>
  <si>
    <t>E-26/290.087/2025</t>
  </si>
  <si>
    <t>https://www.gov.br/capes/pt-br/centrais-de-conteudo/resultados-dos-editais/09072025_Edital_2633439_SEI_2632092_Edital_26_2024___Resultado.pdf</t>
  </si>
  <si>
    <t>8881.126832/2025-1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</si>
</sst>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164" fontId="3" fillId="0" borderId="0" xfId="0" applyNumberFormat="1" applyFont="1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94"/>
  <sheetViews>
    <sheetView tabSelected="1" zoomScale="75" zoomScaleNormal="100" workbookViewId="0">
      <pane xSplit="3" ySplit="1" topLeftCell="D169" activePane="bottomRight" state="frozen"/>
      <selection pane="topRight" activeCell="C1" sqref="C1"/>
      <selection pane="bottomLeft" activeCell="A2" sqref="A2"/>
      <selection pane="bottomRight" activeCell="A174" sqref="A174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68" x14ac:dyDescent="0.2">
      <c r="A174" s="9">
        <v>112</v>
      </c>
      <c r="B174" s="6">
        <v>2025</v>
      </c>
      <c r="C174" s="7" t="s">
        <v>5</v>
      </c>
      <c r="D174" s="7" t="s">
        <v>101</v>
      </c>
      <c r="E174" s="29" t="s">
        <v>389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30" t="s">
        <v>388</v>
      </c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7" t="s">
        <v>385</v>
      </c>
      <c r="F175" s="7" t="s">
        <v>368</v>
      </c>
      <c r="G175" s="7" t="s">
        <v>369</v>
      </c>
      <c r="H175" s="7" t="s">
        <v>0</v>
      </c>
      <c r="I175" s="27">
        <f>SUM(J176:J177)</f>
        <v>86932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B176" s="6">
        <v>2025</v>
      </c>
      <c r="C176" s="7" t="s">
        <v>7</v>
      </c>
      <c r="H176" s="7" t="s">
        <v>0</v>
      </c>
      <c r="J176" s="8">
        <v>43466</v>
      </c>
      <c r="K176" s="9"/>
    </row>
    <row r="177" spans="1:13" ht="17" x14ac:dyDescent="0.2">
      <c r="A177" s="9">
        <v>113</v>
      </c>
      <c r="B177" s="6">
        <v>2026</v>
      </c>
      <c r="C177" s="7" t="s">
        <v>7</v>
      </c>
      <c r="H177" s="7" t="s">
        <v>0</v>
      </c>
      <c r="J177" s="8">
        <v>43466</v>
      </c>
    </row>
    <row r="178" spans="1:13" ht="51" x14ac:dyDescent="0.2">
      <c r="A178" s="9">
        <v>114</v>
      </c>
      <c r="B178" s="6">
        <v>2025</v>
      </c>
      <c r="C178" s="7" t="s">
        <v>7</v>
      </c>
      <c r="D178" s="7" t="s">
        <v>367</v>
      </c>
      <c r="E178" s="22" t="s">
        <v>364</v>
      </c>
      <c r="F178" s="7" t="s">
        <v>370</v>
      </c>
      <c r="G178" s="7" t="s">
        <v>369</v>
      </c>
      <c r="H178" s="7" t="s">
        <v>0</v>
      </c>
      <c r="I178" s="27">
        <f>SUM(J179:J180)</f>
        <v>0</v>
      </c>
      <c r="K178" s="9" t="s">
        <v>371</v>
      </c>
      <c r="L178" s="5" t="s">
        <v>380</v>
      </c>
      <c r="M178" s="5" t="s">
        <v>327</v>
      </c>
    </row>
    <row r="179" spans="1:13" ht="17" x14ac:dyDescent="0.2">
      <c r="A179" s="9">
        <v>114</v>
      </c>
      <c r="B179" s="6">
        <v>2025</v>
      </c>
      <c r="C179" s="7" t="s">
        <v>7</v>
      </c>
      <c r="H179" s="7" t="s">
        <v>0</v>
      </c>
      <c r="J179" s="16">
        <v>0</v>
      </c>
    </row>
    <row r="180" spans="1:13" ht="17" x14ac:dyDescent="0.2">
      <c r="A180" s="9">
        <v>114</v>
      </c>
      <c r="B180" s="6">
        <v>2026</v>
      </c>
      <c r="C180" s="7" t="s">
        <v>7</v>
      </c>
      <c r="J180" s="16">
        <v>0</v>
      </c>
    </row>
    <row r="181" spans="1:13" ht="51" x14ac:dyDescent="0.2">
      <c r="A181" s="9">
        <v>115</v>
      </c>
      <c r="B181" s="6">
        <v>2025</v>
      </c>
      <c r="C181" s="7" t="s">
        <v>7</v>
      </c>
      <c r="D181" s="7" t="s">
        <v>367</v>
      </c>
      <c r="E181" s="29" t="s">
        <v>387</v>
      </c>
      <c r="F181" s="7" t="s">
        <v>372</v>
      </c>
      <c r="G181" s="7" t="s">
        <v>369</v>
      </c>
      <c r="H181" s="7" t="s">
        <v>0</v>
      </c>
      <c r="I181" s="27">
        <f>SUM(J182:J183)</f>
        <v>157276</v>
      </c>
      <c r="K181" s="9" t="s">
        <v>340</v>
      </c>
      <c r="L181" s="5" t="s">
        <v>380</v>
      </c>
      <c r="M181" s="5" t="s">
        <v>327</v>
      </c>
    </row>
    <row r="182" spans="1:13" ht="17" x14ac:dyDescent="0.2">
      <c r="A182" s="9">
        <v>115</v>
      </c>
      <c r="B182" s="6">
        <v>2025</v>
      </c>
      <c r="C182" s="7" t="s">
        <v>7</v>
      </c>
      <c r="H182" s="7" t="s">
        <v>0</v>
      </c>
      <c r="J182" s="31">
        <v>78638</v>
      </c>
    </row>
    <row r="183" spans="1:13" ht="17" x14ac:dyDescent="0.2">
      <c r="A183" s="9">
        <v>115</v>
      </c>
      <c r="B183" s="6">
        <v>2026</v>
      </c>
      <c r="C183" s="7" t="s">
        <v>7</v>
      </c>
      <c r="J183" s="31">
        <v>78638</v>
      </c>
    </row>
    <row r="184" spans="1:13" ht="51" x14ac:dyDescent="0.2">
      <c r="A184" s="9">
        <v>116</v>
      </c>
      <c r="B184" s="6">
        <v>2025</v>
      </c>
      <c r="C184" s="7" t="s">
        <v>7</v>
      </c>
      <c r="D184" s="7" t="s">
        <v>367</v>
      </c>
      <c r="E184" s="22" t="s">
        <v>364</v>
      </c>
      <c r="F184" s="7" t="s">
        <v>373</v>
      </c>
      <c r="G184" s="7" t="s">
        <v>369</v>
      </c>
      <c r="H184" s="7" t="s">
        <v>0</v>
      </c>
      <c r="I184" s="27">
        <f>SUM(J185:J186)</f>
        <v>0</v>
      </c>
      <c r="K184" s="9" t="s">
        <v>341</v>
      </c>
      <c r="L184" s="5" t="s">
        <v>380</v>
      </c>
      <c r="M184" s="5" t="s">
        <v>327</v>
      </c>
    </row>
    <row r="185" spans="1:13" ht="17" x14ac:dyDescent="0.2">
      <c r="A185" s="9">
        <v>116</v>
      </c>
      <c r="B185" s="6">
        <v>2025</v>
      </c>
      <c r="C185" s="7" t="s">
        <v>7</v>
      </c>
      <c r="H185" s="7" t="s">
        <v>0</v>
      </c>
      <c r="J185" s="16">
        <v>0</v>
      </c>
    </row>
    <row r="186" spans="1:13" ht="17" x14ac:dyDescent="0.2">
      <c r="A186" s="9">
        <v>116</v>
      </c>
      <c r="B186" s="6">
        <v>2026</v>
      </c>
      <c r="C186" s="7" t="s">
        <v>7</v>
      </c>
      <c r="J186" s="16">
        <v>0</v>
      </c>
    </row>
    <row r="187" spans="1:13" ht="68" x14ac:dyDescent="0.2">
      <c r="A187" s="9">
        <v>117</v>
      </c>
      <c r="B187" s="6">
        <v>2025</v>
      </c>
      <c r="C187" s="7" t="s">
        <v>7</v>
      </c>
      <c r="D187" s="7" t="s">
        <v>375</v>
      </c>
      <c r="E187" s="22" t="s">
        <v>364</v>
      </c>
      <c r="F187" s="7" t="s">
        <v>376</v>
      </c>
      <c r="G187" s="7" t="s">
        <v>377</v>
      </c>
      <c r="H187" s="7" t="s">
        <v>0</v>
      </c>
      <c r="I187" s="27">
        <f>SUM(J188:J189)</f>
        <v>0</v>
      </c>
      <c r="K187" s="5" t="s">
        <v>378</v>
      </c>
      <c r="L187" s="5" t="s">
        <v>379</v>
      </c>
      <c r="M187" s="5" t="s">
        <v>327</v>
      </c>
    </row>
    <row r="188" spans="1:13" ht="17" x14ac:dyDescent="0.2">
      <c r="A188" s="9">
        <v>117</v>
      </c>
      <c r="B188" s="6">
        <v>2025</v>
      </c>
      <c r="C188" s="7" t="s">
        <v>7</v>
      </c>
      <c r="H188" s="7" t="s">
        <v>0</v>
      </c>
      <c r="J188" s="16">
        <v>0</v>
      </c>
    </row>
    <row r="189" spans="1:13" ht="17" x14ac:dyDescent="0.2">
      <c r="A189" s="9">
        <v>117</v>
      </c>
      <c r="B189" s="6">
        <v>2026</v>
      </c>
      <c r="C189" s="7" t="s">
        <v>7</v>
      </c>
      <c r="J189" s="16">
        <v>0</v>
      </c>
    </row>
    <row r="190" spans="1:13" ht="51" x14ac:dyDescent="0.2">
      <c r="A190" s="9">
        <v>118</v>
      </c>
      <c r="B190" s="6">
        <v>2025</v>
      </c>
      <c r="C190" s="7" t="s">
        <v>7</v>
      </c>
      <c r="D190" s="7" t="s">
        <v>381</v>
      </c>
      <c r="E190" s="22" t="s">
        <v>364</v>
      </c>
      <c r="F190" s="7" t="s">
        <v>382</v>
      </c>
      <c r="G190" s="7" t="s">
        <v>234</v>
      </c>
      <c r="H190" s="7" t="s">
        <v>0</v>
      </c>
      <c r="I190" s="26">
        <f>SUM(J191:J193)</f>
        <v>108000</v>
      </c>
      <c r="K190" s="9" t="s">
        <v>330</v>
      </c>
      <c r="L190" s="5" t="s">
        <v>383</v>
      </c>
      <c r="M190" s="5" t="s">
        <v>327</v>
      </c>
    </row>
    <row r="191" spans="1:13" ht="17" x14ac:dyDescent="0.2">
      <c r="A191" s="9">
        <v>118</v>
      </c>
      <c r="B191" s="6">
        <v>2026</v>
      </c>
      <c r="C191" s="7" t="s">
        <v>7</v>
      </c>
      <c r="H191" s="7" t="s">
        <v>0</v>
      </c>
      <c r="J191" s="8">
        <f>3000*36/3</f>
        <v>36000</v>
      </c>
    </row>
    <row r="192" spans="1:13" ht="17" x14ac:dyDescent="0.2">
      <c r="A192" s="9">
        <v>118</v>
      </c>
      <c r="B192" s="6">
        <v>2027</v>
      </c>
      <c r="C192" s="7" t="s">
        <v>7</v>
      </c>
      <c r="H192" s="7" t="s">
        <v>0</v>
      </c>
      <c r="J192" s="8">
        <f>3000*36/3</f>
        <v>36000</v>
      </c>
    </row>
    <row r="193" spans="1:13" ht="17" x14ac:dyDescent="0.2">
      <c r="A193" s="9">
        <v>118</v>
      </c>
      <c r="B193" s="6">
        <v>2028</v>
      </c>
      <c r="C193" s="7" t="s">
        <v>7</v>
      </c>
      <c r="H193" s="7" t="s">
        <v>0</v>
      </c>
      <c r="J193" s="8">
        <f>3000*36/3</f>
        <v>36000</v>
      </c>
    </row>
    <row r="194" spans="1:13" ht="68" x14ac:dyDescent="0.2">
      <c r="A194" s="9">
        <v>119</v>
      </c>
      <c r="B194" s="6">
        <v>2026</v>
      </c>
      <c r="C194" s="7" t="s">
        <v>5</v>
      </c>
      <c r="D194" s="7" t="s">
        <v>101</v>
      </c>
      <c r="E194" s="29" t="s">
        <v>384</v>
      </c>
      <c r="F194" s="7" t="s">
        <v>247</v>
      </c>
      <c r="G194" s="7" t="s">
        <v>248</v>
      </c>
      <c r="H194" s="7" t="s">
        <v>107</v>
      </c>
      <c r="I194" s="26">
        <f t="shared" ref="I194" si="5">J194</f>
        <v>39600</v>
      </c>
      <c r="J194" s="8">
        <f>6*1650*4</f>
        <v>39600</v>
      </c>
      <c r="K194" s="9" t="s">
        <v>254</v>
      </c>
      <c r="L194" s="30" t="s">
        <v>386</v>
      </c>
      <c r="M194" s="5" t="s">
        <v>327</v>
      </c>
    </row>
  </sheetData>
  <autoFilter ref="A1:M187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2025-11-20T12:46:00Z</dcterms:modified>
  <cp:category/>
  <cp:contentStatus/>
</cp:coreProperties>
</file>